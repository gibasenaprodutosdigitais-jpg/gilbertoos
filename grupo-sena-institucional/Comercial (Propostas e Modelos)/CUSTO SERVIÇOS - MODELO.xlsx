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lyf\OneDrive\Área de Trabalho\Grupo SENA\Prestação de Serviços\Administrativo\Custos de Serviços\"/>
    </mc:Choice>
  </mc:AlternateContent>
  <xr:revisionPtr revIDLastSave="0" documentId="13_ncr:1_{867A3E0F-3CDA-4909-BF9F-651A1ED12929}" xr6:coauthVersionLast="45" xr6:coauthVersionMax="45" xr10:uidLastSave="{00000000-0000-0000-0000-000000000000}"/>
  <bookViews>
    <workbookView xWindow="0" yWindow="0" windowWidth="20490" windowHeight="1092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" i="1" l="1"/>
  <c r="F12" i="1"/>
  <c r="F11" i="1" l="1"/>
  <c r="F10" i="1"/>
  <c r="F9" i="1"/>
  <c r="F8" i="1"/>
  <c r="F7" i="1"/>
  <c r="F6" i="1"/>
  <c r="G11" i="1" l="1"/>
  <c r="G10" i="1"/>
  <c r="G9" i="1"/>
  <c r="G8" i="1"/>
  <c r="G7" i="1"/>
  <c r="G6" i="1"/>
  <c r="G12" i="1" l="1"/>
  <c r="G13" i="1" s="1"/>
  <c r="G14" i="1" s="1"/>
  <c r="G17" i="1" l="1"/>
  <c r="G16" i="1"/>
  <c r="G15" i="1" l="1"/>
  <c r="G18" i="1" s="1"/>
  <c r="G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tc={365AFC3E-0A4C-45FE-90A5-3D24C2D80DC4}</author>
    <author>tc={1EA18894-26F3-4B5B-8E78-EB0D780DDB0F}</author>
    <author>tc={9FDA68FF-12B0-4454-BC84-E847831113B9}</author>
    <author>tc={318800FC-D0F9-419A-A197-FA09F32D5E80}</author>
  </authors>
  <commentList>
    <comment ref="F6" authorId="0" shapeId="0" xr:uid="{365AFC3E-0A4C-45FE-90A5-3D24C2D80D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Salário da Função + Encargos (mesmo valor do Salário) / 180 horas</t>
      </text>
    </comment>
    <comment ref="F11" authorId="1" shapeId="0" xr:uid="{1EA18894-26F3-4B5B-8E78-EB0D780DDB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Retirada Mensal do Diretor / 180 horas.</t>
      </text>
    </comment>
    <comment ref="F12" authorId="2" shapeId="0" xr:uid="{9FDA68FF-12B0-4454-BC84-E847831113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médio mensal das Despesas com:
TELEFONE/INTERNET: +/- R$ 290,00
ALUGUEL: R$ 5.500,00
CEMIG: +/- R$ 800,00
COPASA: +/- R$ 250,00
Salário RECEPÇÃO: R$ 1.234,00
Suporte TI = R$ 158,00
Sistemas Alterdata/Mastermaq = R$ 570,00 + R$ 310,00
= Soma Total  / 180 horas.</t>
      </text>
    </comment>
    <comment ref="F17" authorId="3" shapeId="0" xr:uid="{318800FC-D0F9-419A-A197-FA09F32D5E8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IMC = Lucro Bruto / Receita Operacional Bruta
** Lucro Bruto = ROB - Impostos - Despesas Variáveis (Fornecedores, Folha)</t>
      </text>
    </comment>
  </commentList>
</comments>
</file>

<file path=xl/sharedStrings.xml><?xml version="1.0" encoding="utf-8"?>
<sst xmlns="http://schemas.openxmlformats.org/spreadsheetml/2006/main" count="21" uniqueCount="21">
  <si>
    <t>CÁLCULO DE CUSTOS</t>
  </si>
  <si>
    <t>CUSTO SETORIZADO</t>
  </si>
  <si>
    <t>HORAS</t>
  </si>
  <si>
    <t>CUSTO</t>
  </si>
  <si>
    <t>C. TOTAL</t>
  </si>
  <si>
    <t>DEPARTAMENTO DE PESSOAL</t>
  </si>
  <si>
    <t>DEPARTAMENTO FISCAL</t>
  </si>
  <si>
    <t>DEPARTAMENTO CONTABIL</t>
  </si>
  <si>
    <t>DESPACHANTE</t>
  </si>
  <si>
    <t xml:space="preserve">SUPORTE </t>
  </si>
  <si>
    <t>SUPORTE DIRETORIA</t>
  </si>
  <si>
    <t>CUSTO  FIXO</t>
  </si>
  <si>
    <t>MATERIAL APLICADO</t>
  </si>
  <si>
    <t>SUB TOTAL</t>
  </si>
  <si>
    <t>IMPOSTOS</t>
  </si>
  <si>
    <t>RISCO</t>
  </si>
  <si>
    <t>MARGEM DE CONTRIBUIÇÃO</t>
  </si>
  <si>
    <t>TOTAL</t>
  </si>
  <si>
    <t>VALOR DO HONORARIO</t>
  </si>
  <si>
    <t>MARGEM DE LUCRO/PREJUIZO</t>
  </si>
  <si>
    <t>NOME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</si>
</sst>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\-#"/>
    <numFmt numFmtId="165" formatCode="&quot;R$&quot;#,##0.00;&quot;R$(&quot;#,##0.00\);&quot;R$-&quot;#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9"/>
      <name val="Arial"/>
      <family val="2"/>
    </font>
    <font>
      <b/>
      <u/>
      <sz val="22"/>
      <color indexed="8"/>
      <name val="Arial"/>
      <family val="2"/>
    </font>
    <font>
      <b/>
      <u/>
      <sz val="22"/>
      <color indexed="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rgb="FFDEB314"/>
        <bgColor indexed="13"/>
      </patternFill>
    </fill>
    <fill>
      <patternFill patternType="solid">
        <fgColor rgb="FFDEB314"/>
        <bgColor indexed="64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 diagonalDown="1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8"/>
      </diagonal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5" fillId="0" borderId="0" xfId="0" applyFont="1" applyFill="1" applyBorder="1"/>
    <xf numFmtId="2" fontId="7" fillId="0" borderId="9" xfId="0" applyNumberFormat="1" applyFont="1" applyFill="1" applyBorder="1" applyAlignment="1">
      <alignment horizontal="center"/>
    </xf>
    <xf numFmtId="165" fontId="7" fillId="0" borderId="9" xfId="0" applyNumberFormat="1" applyFont="1" applyFill="1" applyBorder="1" applyAlignment="1">
      <alignment horizontal="center"/>
    </xf>
    <xf numFmtId="164" fontId="7" fillId="0" borderId="9" xfId="0" applyNumberFormat="1" applyFont="1" applyFill="1" applyBorder="1" applyAlignment="1">
      <alignment horizontal="center"/>
    </xf>
    <xf numFmtId="164" fontId="8" fillId="2" borderId="9" xfId="0" applyNumberFormat="1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165" fontId="8" fillId="2" borderId="9" xfId="0" applyNumberFormat="1" applyFont="1" applyFill="1" applyBorder="1" applyAlignment="1">
      <alignment horizontal="center"/>
    </xf>
    <xf numFmtId="165" fontId="6" fillId="0" borderId="9" xfId="0" applyNumberFormat="1" applyFont="1" applyFill="1" applyBorder="1" applyAlignment="1">
      <alignment horizontal="center"/>
    </xf>
    <xf numFmtId="165" fontId="8" fillId="2" borderId="1" xfId="0" applyNumberFormat="1" applyFont="1" applyFill="1" applyBorder="1" applyAlignment="1">
      <alignment horizontal="center"/>
    </xf>
    <xf numFmtId="165" fontId="8" fillId="2" borderId="13" xfId="0" applyNumberFormat="1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164" fontId="7" fillId="4" borderId="9" xfId="0" applyNumberFormat="1" applyFont="1" applyFill="1" applyBorder="1" applyAlignment="1" applyProtection="1">
      <alignment horizontal="center"/>
      <protection locked="0"/>
    </xf>
    <xf numFmtId="9" fontId="7" fillId="0" borderId="9" xfId="0" applyNumberFormat="1" applyFont="1" applyFill="1" applyBorder="1" applyAlignment="1" applyProtection="1">
      <alignment horizontal="center"/>
      <protection locked="0"/>
    </xf>
    <xf numFmtId="10" fontId="7" fillId="0" borderId="9" xfId="1" applyNumberFormat="1" applyFont="1" applyFill="1" applyBorder="1" applyAlignment="1" applyProtection="1">
      <alignment horizontal="center"/>
      <protection locked="0"/>
    </xf>
    <xf numFmtId="9" fontId="7" fillId="0" borderId="9" xfId="1" applyFont="1" applyFill="1" applyBorder="1" applyAlignment="1" applyProtection="1">
      <alignment horizontal="center"/>
      <protection locked="0"/>
    </xf>
    <xf numFmtId="165" fontId="9" fillId="3" borderId="12" xfId="0" applyNumberFormat="1" applyFont="1" applyFill="1" applyBorder="1" applyAlignment="1" applyProtection="1">
      <alignment horizontal="center"/>
      <protection locked="0"/>
    </xf>
    <xf numFmtId="0" fontId="6" fillId="0" borderId="14" xfId="0" applyFont="1" applyFill="1" applyBorder="1" applyAlignment="1">
      <alignment horizontal="center"/>
    </xf>
    <xf numFmtId="164" fontId="6" fillId="0" borderId="14" xfId="0" applyNumberFormat="1" applyFont="1" applyFill="1" applyBorder="1" applyAlignment="1">
      <alignment horizontal="center"/>
    </xf>
    <xf numFmtId="10" fontId="7" fillId="0" borderId="9" xfId="0" applyNumberFormat="1" applyFont="1" applyFill="1" applyBorder="1" applyAlignment="1" applyProtection="1">
      <alignment horizontal="center"/>
    </xf>
    <xf numFmtId="0" fontId="8" fillId="2" borderId="10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12" xfId="0" applyFont="1" applyFill="1" applyBorder="1" applyAlignment="1">
      <alignment horizontal="left"/>
    </xf>
    <xf numFmtId="0" fontId="9" fillId="3" borderId="10" xfId="0" applyFont="1" applyFill="1" applyBorder="1" applyAlignment="1">
      <alignment horizontal="left"/>
    </xf>
    <xf numFmtId="0" fontId="9" fillId="3" borderId="11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left"/>
    </xf>
    <xf numFmtId="0" fontId="7" fillId="0" borderId="9" xfId="0" applyFont="1" applyFill="1" applyBorder="1" applyAlignment="1">
      <alignment horizontal="left"/>
    </xf>
    <xf numFmtId="0" fontId="7" fillId="0" borderId="10" xfId="0" applyFont="1" applyFill="1" applyBorder="1" applyAlignment="1">
      <alignment horizontal="left"/>
    </xf>
    <xf numFmtId="0" fontId="7" fillId="0" borderId="11" xfId="0" applyFont="1" applyFill="1" applyBorder="1" applyAlignment="1">
      <alignment horizontal="left"/>
    </xf>
    <xf numFmtId="0" fontId="7" fillId="0" borderId="1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6" fillId="0" borderId="9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DEB314"/>
      <color rgb="FFC4C00C"/>
      <color rgb="FFB156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104776</xdr:colOff>
      <xdr:row>2</xdr:row>
      <xdr:rowOff>95250</xdr:rowOff>
    </xdr:from>
    <xdr:to>
      <xdr:col>3</xdr:col>
      <xdr:colOff>53770</xdr:colOff>
      <xdr:row>2</xdr:row>
      <xdr:rowOff>1123950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E9CC084-37BE-44A3-9BEC-1CBD39555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1" y="447675"/>
          <a:ext cx="1072944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ely Fernandes" id="{DF546DDD-F213-470E-A4CC-8A4C64C99A3A}" userId="dbcf12e2f070d9ea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6" dT="2020-01-10T14:42:23.16" personId="{DF546DDD-F213-470E-A4CC-8A4C64C99A3A}" id="{365AFC3E-0A4C-45FE-90A5-3D24C2D80DC4}">
    <text>Salário da Função + Encargos (mesmo valor do Salário) / 180 horas</text>
  </threadedComment>
  <threadedComment ref="F11" dT="2020-01-10T14:42:58.14" personId="{DF546DDD-F213-470E-A4CC-8A4C64C99A3A}" id="{1EA18894-26F3-4B5B-8E78-EB0D780DDB0F}">
    <text>Retirada Mensal do Diretor / 180 horas.</text>
  </threadedComment>
  <threadedComment ref="F12" dT="2020-01-10T14:45:23.83" personId="{DF546DDD-F213-470E-A4CC-8A4C64C99A3A}" id="{9FDA68FF-12B0-4454-BC84-E847831113B9}">
    <text>Valor médio mensal das Despesas com:
TELEFONE/INTERNET: +/- R$ 290,00
ALUGUEL: R$ 5.500,00
CEMIG: +/- R$ 800,00
COPASA: +/- R$ 250,00
Salário RECEPÇÃO: R$ 1.234,00
Suporte TI = R$ 158,00
Sistemas Alterdata/Mastermaq = R$ 570,00 + R$ 310,00
= Soma Total  / 180 horas.</text>
  </threadedComment>
  <threadedComment ref="F17" dT="2020-01-10T15:42:45.95" personId="{DF546DDD-F213-470E-A4CC-8A4C64C99A3A}" id="{318800FC-D0F9-419A-A197-FA09F32D5E80}">
    <text>IMC = Lucro Bruto / Receita Operacional Bruta
** Lucro Bruto = ROB - Impostos - Despesas Variáveis (Fornecedores, Folha)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showGridLines="0" tabSelected="1" zoomScale="85" zoomScaleNormal="85" workbookViewId="0">
      <selection activeCell="J19" sqref="J19"/>
    </sheetView>
  </sheetViews>
  <sheetFormatPr defaultColWidth="8.42578125" defaultRowHeight="15" x14ac:dyDescent="0.25"/>
  <cols>
    <col min="1" max="3" width="8.42578125" customWidth="1"/>
    <col min="4" max="4" width="14.42578125" customWidth="1"/>
    <col min="5" max="7" width="18.7109375" customWidth="1"/>
    <col min="8" max="8" width="13.7109375" customWidth="1"/>
    <col min="257" max="259" width="8.42578125" customWidth="1"/>
    <col min="260" max="260" width="11.5703125" customWidth="1"/>
    <col min="261" max="263" width="15.7109375" customWidth="1"/>
    <col min="264" max="264" width="13.7109375" customWidth="1"/>
    <col min="513" max="515" width="8.42578125" customWidth="1"/>
    <col min="516" max="516" width="11.5703125" customWidth="1"/>
    <col min="517" max="519" width="15.7109375" customWidth="1"/>
    <col min="520" max="520" width="13.7109375" customWidth="1"/>
    <col min="769" max="771" width="8.42578125" customWidth="1"/>
    <col min="772" max="772" width="11.5703125" customWidth="1"/>
    <col min="773" max="775" width="15.7109375" customWidth="1"/>
    <col min="776" max="776" width="13.7109375" customWidth="1"/>
    <col min="1025" max="1027" width="8.42578125" customWidth="1"/>
    <col min="1028" max="1028" width="11.5703125" customWidth="1"/>
    <col min="1029" max="1031" width="15.7109375" customWidth="1"/>
    <col min="1032" max="1032" width="13.7109375" customWidth="1"/>
    <col min="1281" max="1283" width="8.42578125" customWidth="1"/>
    <col min="1284" max="1284" width="11.5703125" customWidth="1"/>
    <col min="1285" max="1287" width="15.7109375" customWidth="1"/>
    <col min="1288" max="1288" width="13.7109375" customWidth="1"/>
    <col min="1537" max="1539" width="8.42578125" customWidth="1"/>
    <col min="1540" max="1540" width="11.5703125" customWidth="1"/>
    <col min="1541" max="1543" width="15.7109375" customWidth="1"/>
    <col min="1544" max="1544" width="13.7109375" customWidth="1"/>
    <col min="1793" max="1795" width="8.42578125" customWidth="1"/>
    <col min="1796" max="1796" width="11.5703125" customWidth="1"/>
    <col min="1797" max="1799" width="15.7109375" customWidth="1"/>
    <col min="1800" max="1800" width="13.7109375" customWidth="1"/>
    <col min="2049" max="2051" width="8.42578125" customWidth="1"/>
    <col min="2052" max="2052" width="11.5703125" customWidth="1"/>
    <col min="2053" max="2055" width="15.7109375" customWidth="1"/>
    <col min="2056" max="2056" width="13.7109375" customWidth="1"/>
    <col min="2305" max="2307" width="8.42578125" customWidth="1"/>
    <col min="2308" max="2308" width="11.5703125" customWidth="1"/>
    <col min="2309" max="2311" width="15.7109375" customWidth="1"/>
    <col min="2312" max="2312" width="13.7109375" customWidth="1"/>
    <col min="2561" max="2563" width="8.42578125" customWidth="1"/>
    <col min="2564" max="2564" width="11.5703125" customWidth="1"/>
    <col min="2565" max="2567" width="15.7109375" customWidth="1"/>
    <col min="2568" max="2568" width="13.7109375" customWidth="1"/>
    <col min="2817" max="2819" width="8.42578125" customWidth="1"/>
    <col min="2820" max="2820" width="11.5703125" customWidth="1"/>
    <col min="2821" max="2823" width="15.7109375" customWidth="1"/>
    <col min="2824" max="2824" width="13.7109375" customWidth="1"/>
    <col min="3073" max="3075" width="8.42578125" customWidth="1"/>
    <col min="3076" max="3076" width="11.5703125" customWidth="1"/>
    <col min="3077" max="3079" width="15.7109375" customWidth="1"/>
    <col min="3080" max="3080" width="13.7109375" customWidth="1"/>
    <col min="3329" max="3331" width="8.42578125" customWidth="1"/>
    <col min="3332" max="3332" width="11.5703125" customWidth="1"/>
    <col min="3333" max="3335" width="15.7109375" customWidth="1"/>
    <col min="3336" max="3336" width="13.7109375" customWidth="1"/>
    <col min="3585" max="3587" width="8.42578125" customWidth="1"/>
    <col min="3588" max="3588" width="11.5703125" customWidth="1"/>
    <col min="3589" max="3591" width="15.7109375" customWidth="1"/>
    <col min="3592" max="3592" width="13.7109375" customWidth="1"/>
    <col min="3841" max="3843" width="8.42578125" customWidth="1"/>
    <col min="3844" max="3844" width="11.5703125" customWidth="1"/>
    <col min="3845" max="3847" width="15.7109375" customWidth="1"/>
    <col min="3848" max="3848" width="13.7109375" customWidth="1"/>
    <col min="4097" max="4099" width="8.42578125" customWidth="1"/>
    <col min="4100" max="4100" width="11.5703125" customWidth="1"/>
    <col min="4101" max="4103" width="15.7109375" customWidth="1"/>
    <col min="4104" max="4104" width="13.7109375" customWidth="1"/>
    <col min="4353" max="4355" width="8.42578125" customWidth="1"/>
    <col min="4356" max="4356" width="11.5703125" customWidth="1"/>
    <col min="4357" max="4359" width="15.7109375" customWidth="1"/>
    <col min="4360" max="4360" width="13.7109375" customWidth="1"/>
    <col min="4609" max="4611" width="8.42578125" customWidth="1"/>
    <col min="4612" max="4612" width="11.5703125" customWidth="1"/>
    <col min="4613" max="4615" width="15.7109375" customWidth="1"/>
    <col min="4616" max="4616" width="13.7109375" customWidth="1"/>
    <col min="4865" max="4867" width="8.42578125" customWidth="1"/>
    <col min="4868" max="4868" width="11.5703125" customWidth="1"/>
    <col min="4869" max="4871" width="15.7109375" customWidth="1"/>
    <col min="4872" max="4872" width="13.7109375" customWidth="1"/>
    <col min="5121" max="5123" width="8.42578125" customWidth="1"/>
    <col min="5124" max="5124" width="11.5703125" customWidth="1"/>
    <col min="5125" max="5127" width="15.7109375" customWidth="1"/>
    <col min="5128" max="5128" width="13.7109375" customWidth="1"/>
    <col min="5377" max="5379" width="8.42578125" customWidth="1"/>
    <col min="5380" max="5380" width="11.5703125" customWidth="1"/>
    <col min="5381" max="5383" width="15.7109375" customWidth="1"/>
    <col min="5384" max="5384" width="13.7109375" customWidth="1"/>
    <col min="5633" max="5635" width="8.42578125" customWidth="1"/>
    <col min="5636" max="5636" width="11.5703125" customWidth="1"/>
    <col min="5637" max="5639" width="15.7109375" customWidth="1"/>
    <col min="5640" max="5640" width="13.7109375" customWidth="1"/>
    <col min="5889" max="5891" width="8.42578125" customWidth="1"/>
    <col min="5892" max="5892" width="11.5703125" customWidth="1"/>
    <col min="5893" max="5895" width="15.7109375" customWidth="1"/>
    <col min="5896" max="5896" width="13.7109375" customWidth="1"/>
    <col min="6145" max="6147" width="8.42578125" customWidth="1"/>
    <col min="6148" max="6148" width="11.5703125" customWidth="1"/>
    <col min="6149" max="6151" width="15.7109375" customWidth="1"/>
    <col min="6152" max="6152" width="13.7109375" customWidth="1"/>
    <col min="6401" max="6403" width="8.42578125" customWidth="1"/>
    <col min="6404" max="6404" width="11.5703125" customWidth="1"/>
    <col min="6405" max="6407" width="15.7109375" customWidth="1"/>
    <col min="6408" max="6408" width="13.7109375" customWidth="1"/>
    <col min="6657" max="6659" width="8.42578125" customWidth="1"/>
    <col min="6660" max="6660" width="11.5703125" customWidth="1"/>
    <col min="6661" max="6663" width="15.7109375" customWidth="1"/>
    <col min="6664" max="6664" width="13.7109375" customWidth="1"/>
    <col min="6913" max="6915" width="8.42578125" customWidth="1"/>
    <col min="6916" max="6916" width="11.5703125" customWidth="1"/>
    <col min="6917" max="6919" width="15.7109375" customWidth="1"/>
    <col min="6920" max="6920" width="13.7109375" customWidth="1"/>
    <col min="7169" max="7171" width="8.42578125" customWidth="1"/>
    <col min="7172" max="7172" width="11.5703125" customWidth="1"/>
    <col min="7173" max="7175" width="15.7109375" customWidth="1"/>
    <col min="7176" max="7176" width="13.7109375" customWidth="1"/>
    <col min="7425" max="7427" width="8.42578125" customWidth="1"/>
    <col min="7428" max="7428" width="11.5703125" customWidth="1"/>
    <col min="7429" max="7431" width="15.7109375" customWidth="1"/>
    <col min="7432" max="7432" width="13.7109375" customWidth="1"/>
    <col min="7681" max="7683" width="8.42578125" customWidth="1"/>
    <col min="7684" max="7684" width="11.5703125" customWidth="1"/>
    <col min="7685" max="7687" width="15.7109375" customWidth="1"/>
    <col min="7688" max="7688" width="13.7109375" customWidth="1"/>
    <col min="7937" max="7939" width="8.42578125" customWidth="1"/>
    <col min="7940" max="7940" width="11.5703125" customWidth="1"/>
    <col min="7941" max="7943" width="15.7109375" customWidth="1"/>
    <col min="7944" max="7944" width="13.7109375" customWidth="1"/>
    <col min="8193" max="8195" width="8.42578125" customWidth="1"/>
    <col min="8196" max="8196" width="11.5703125" customWidth="1"/>
    <col min="8197" max="8199" width="15.7109375" customWidth="1"/>
    <col min="8200" max="8200" width="13.7109375" customWidth="1"/>
    <col min="8449" max="8451" width="8.42578125" customWidth="1"/>
    <col min="8452" max="8452" width="11.5703125" customWidth="1"/>
    <col min="8453" max="8455" width="15.7109375" customWidth="1"/>
    <col min="8456" max="8456" width="13.7109375" customWidth="1"/>
    <col min="8705" max="8707" width="8.42578125" customWidth="1"/>
    <col min="8708" max="8708" width="11.5703125" customWidth="1"/>
    <col min="8709" max="8711" width="15.7109375" customWidth="1"/>
    <col min="8712" max="8712" width="13.7109375" customWidth="1"/>
    <col min="8961" max="8963" width="8.42578125" customWidth="1"/>
    <col min="8964" max="8964" width="11.5703125" customWidth="1"/>
    <col min="8965" max="8967" width="15.7109375" customWidth="1"/>
    <col min="8968" max="8968" width="13.7109375" customWidth="1"/>
    <col min="9217" max="9219" width="8.42578125" customWidth="1"/>
    <col min="9220" max="9220" width="11.5703125" customWidth="1"/>
    <col min="9221" max="9223" width="15.7109375" customWidth="1"/>
    <col min="9224" max="9224" width="13.7109375" customWidth="1"/>
    <col min="9473" max="9475" width="8.42578125" customWidth="1"/>
    <col min="9476" max="9476" width="11.5703125" customWidth="1"/>
    <col min="9477" max="9479" width="15.7109375" customWidth="1"/>
    <col min="9480" max="9480" width="13.7109375" customWidth="1"/>
    <col min="9729" max="9731" width="8.42578125" customWidth="1"/>
    <col min="9732" max="9732" width="11.5703125" customWidth="1"/>
    <col min="9733" max="9735" width="15.7109375" customWidth="1"/>
    <col min="9736" max="9736" width="13.7109375" customWidth="1"/>
    <col min="9985" max="9987" width="8.42578125" customWidth="1"/>
    <col min="9988" max="9988" width="11.5703125" customWidth="1"/>
    <col min="9989" max="9991" width="15.7109375" customWidth="1"/>
    <col min="9992" max="9992" width="13.7109375" customWidth="1"/>
    <col min="10241" max="10243" width="8.42578125" customWidth="1"/>
    <col min="10244" max="10244" width="11.5703125" customWidth="1"/>
    <col min="10245" max="10247" width="15.7109375" customWidth="1"/>
    <col min="10248" max="10248" width="13.7109375" customWidth="1"/>
    <col min="10497" max="10499" width="8.42578125" customWidth="1"/>
    <col min="10500" max="10500" width="11.5703125" customWidth="1"/>
    <col min="10501" max="10503" width="15.7109375" customWidth="1"/>
    <col min="10504" max="10504" width="13.7109375" customWidth="1"/>
    <col min="10753" max="10755" width="8.42578125" customWidth="1"/>
    <col min="10756" max="10756" width="11.5703125" customWidth="1"/>
    <col min="10757" max="10759" width="15.7109375" customWidth="1"/>
    <col min="10760" max="10760" width="13.7109375" customWidth="1"/>
    <col min="11009" max="11011" width="8.42578125" customWidth="1"/>
    <col min="11012" max="11012" width="11.5703125" customWidth="1"/>
    <col min="11013" max="11015" width="15.7109375" customWidth="1"/>
    <col min="11016" max="11016" width="13.7109375" customWidth="1"/>
    <col min="11265" max="11267" width="8.42578125" customWidth="1"/>
    <col min="11268" max="11268" width="11.5703125" customWidth="1"/>
    <col min="11269" max="11271" width="15.7109375" customWidth="1"/>
    <col min="11272" max="11272" width="13.7109375" customWidth="1"/>
    <col min="11521" max="11523" width="8.42578125" customWidth="1"/>
    <col min="11524" max="11524" width="11.5703125" customWidth="1"/>
    <col min="11525" max="11527" width="15.7109375" customWidth="1"/>
    <col min="11528" max="11528" width="13.7109375" customWidth="1"/>
    <col min="11777" max="11779" width="8.42578125" customWidth="1"/>
    <col min="11780" max="11780" width="11.5703125" customWidth="1"/>
    <col min="11781" max="11783" width="15.7109375" customWidth="1"/>
    <col min="11784" max="11784" width="13.7109375" customWidth="1"/>
    <col min="12033" max="12035" width="8.42578125" customWidth="1"/>
    <col min="12036" max="12036" width="11.5703125" customWidth="1"/>
    <col min="12037" max="12039" width="15.7109375" customWidth="1"/>
    <col min="12040" max="12040" width="13.7109375" customWidth="1"/>
    <col min="12289" max="12291" width="8.42578125" customWidth="1"/>
    <col min="12292" max="12292" width="11.5703125" customWidth="1"/>
    <col min="12293" max="12295" width="15.7109375" customWidth="1"/>
    <col min="12296" max="12296" width="13.7109375" customWidth="1"/>
    <col min="12545" max="12547" width="8.42578125" customWidth="1"/>
    <col min="12548" max="12548" width="11.5703125" customWidth="1"/>
    <col min="12549" max="12551" width="15.7109375" customWidth="1"/>
    <col min="12552" max="12552" width="13.7109375" customWidth="1"/>
    <col min="12801" max="12803" width="8.42578125" customWidth="1"/>
    <col min="12804" max="12804" width="11.5703125" customWidth="1"/>
    <col min="12805" max="12807" width="15.7109375" customWidth="1"/>
    <col min="12808" max="12808" width="13.7109375" customWidth="1"/>
    <col min="13057" max="13059" width="8.42578125" customWidth="1"/>
    <col min="13060" max="13060" width="11.5703125" customWidth="1"/>
    <col min="13061" max="13063" width="15.7109375" customWidth="1"/>
    <col min="13064" max="13064" width="13.7109375" customWidth="1"/>
    <col min="13313" max="13315" width="8.42578125" customWidth="1"/>
    <col min="13316" max="13316" width="11.5703125" customWidth="1"/>
    <col min="13317" max="13319" width="15.7109375" customWidth="1"/>
    <col min="13320" max="13320" width="13.7109375" customWidth="1"/>
    <col min="13569" max="13571" width="8.42578125" customWidth="1"/>
    <col min="13572" max="13572" width="11.5703125" customWidth="1"/>
    <col min="13573" max="13575" width="15.7109375" customWidth="1"/>
    <col min="13576" max="13576" width="13.7109375" customWidth="1"/>
    <col min="13825" max="13827" width="8.42578125" customWidth="1"/>
    <col min="13828" max="13828" width="11.5703125" customWidth="1"/>
    <col min="13829" max="13831" width="15.7109375" customWidth="1"/>
    <col min="13832" max="13832" width="13.7109375" customWidth="1"/>
    <col min="14081" max="14083" width="8.42578125" customWidth="1"/>
    <col min="14084" max="14084" width="11.5703125" customWidth="1"/>
    <col min="14085" max="14087" width="15.7109375" customWidth="1"/>
    <col min="14088" max="14088" width="13.7109375" customWidth="1"/>
    <col min="14337" max="14339" width="8.42578125" customWidth="1"/>
    <col min="14340" max="14340" width="11.5703125" customWidth="1"/>
    <col min="14341" max="14343" width="15.7109375" customWidth="1"/>
    <col min="14344" max="14344" width="13.7109375" customWidth="1"/>
    <col min="14593" max="14595" width="8.42578125" customWidth="1"/>
    <col min="14596" max="14596" width="11.5703125" customWidth="1"/>
    <col min="14597" max="14599" width="15.7109375" customWidth="1"/>
    <col min="14600" max="14600" width="13.7109375" customWidth="1"/>
    <col min="14849" max="14851" width="8.42578125" customWidth="1"/>
    <col min="14852" max="14852" width="11.5703125" customWidth="1"/>
    <col min="14853" max="14855" width="15.7109375" customWidth="1"/>
    <col min="14856" max="14856" width="13.7109375" customWidth="1"/>
    <col min="15105" max="15107" width="8.42578125" customWidth="1"/>
    <col min="15108" max="15108" width="11.5703125" customWidth="1"/>
    <col min="15109" max="15111" width="15.7109375" customWidth="1"/>
    <col min="15112" max="15112" width="13.7109375" customWidth="1"/>
    <col min="15361" max="15363" width="8.42578125" customWidth="1"/>
    <col min="15364" max="15364" width="11.5703125" customWidth="1"/>
    <col min="15365" max="15367" width="15.7109375" customWidth="1"/>
    <col min="15368" max="15368" width="13.7109375" customWidth="1"/>
    <col min="15617" max="15619" width="8.42578125" customWidth="1"/>
    <col min="15620" max="15620" width="11.5703125" customWidth="1"/>
    <col min="15621" max="15623" width="15.7109375" customWidth="1"/>
    <col min="15624" max="15624" width="13.7109375" customWidth="1"/>
    <col min="15873" max="15875" width="8.42578125" customWidth="1"/>
    <col min="15876" max="15876" width="11.5703125" customWidth="1"/>
    <col min="15877" max="15879" width="15.7109375" customWidth="1"/>
    <col min="15880" max="15880" width="13.7109375" customWidth="1"/>
    <col min="16129" max="16131" width="8.42578125" customWidth="1"/>
    <col min="16132" max="16132" width="11.5703125" customWidth="1"/>
    <col min="16133" max="16135" width="15.7109375" customWidth="1"/>
    <col min="16136" max="16136" width="13.7109375" customWidth="1"/>
  </cols>
  <sheetData>
    <row r="1" spans="1:7" ht="32.25" customHeight="1" x14ac:dyDescent="0.25">
      <c r="A1" s="40" t="s">
        <v>0</v>
      </c>
      <c r="B1" s="40"/>
      <c r="C1" s="40"/>
      <c r="D1" s="40"/>
      <c r="E1" s="40"/>
      <c r="F1" s="40"/>
      <c r="G1" s="40"/>
    </row>
    <row r="2" spans="1:7" ht="5.0999999999999996" customHeight="1" x14ac:dyDescent="0.25">
      <c r="A2" s="29"/>
      <c r="B2" s="30"/>
      <c r="C2" s="30"/>
      <c r="D2" s="30"/>
      <c r="E2" s="30"/>
      <c r="F2" s="30"/>
      <c r="G2" s="31"/>
    </row>
    <row r="3" spans="1:7" s="1" customFormat="1" ht="96.75" customHeight="1" x14ac:dyDescent="0.4">
      <c r="A3" s="41"/>
      <c r="B3" s="41"/>
      <c r="C3" s="41"/>
      <c r="D3" s="41"/>
      <c r="E3" s="42" t="s">
        <v>20</v>
      </c>
      <c r="F3" s="42"/>
      <c r="G3" s="43"/>
    </row>
    <row r="4" spans="1:7" s="1" customFormat="1" ht="5.0999999999999996" customHeight="1" x14ac:dyDescent="0.4">
      <c r="A4" s="32"/>
      <c r="B4" s="33"/>
      <c r="C4" s="33"/>
      <c r="D4" s="33"/>
      <c r="E4" s="33"/>
      <c r="F4" s="33"/>
      <c r="G4" s="34"/>
    </row>
    <row r="5" spans="1:7" s="12" customFormat="1" ht="23.25" customHeight="1" x14ac:dyDescent="0.25">
      <c r="A5" s="44" t="s">
        <v>1</v>
      </c>
      <c r="B5" s="44"/>
      <c r="C5" s="44"/>
      <c r="D5" s="44"/>
      <c r="E5" s="11" t="s">
        <v>2</v>
      </c>
      <c r="F5" s="11" t="s">
        <v>3</v>
      </c>
      <c r="G5" s="11" t="s">
        <v>4</v>
      </c>
    </row>
    <row r="6" spans="1:7" s="1" customFormat="1" ht="17.100000000000001" customHeight="1" x14ac:dyDescent="0.2">
      <c r="A6" s="36" t="s">
        <v>5</v>
      </c>
      <c r="B6" s="36"/>
      <c r="C6" s="36"/>
      <c r="D6" s="36"/>
      <c r="E6" s="13">
        <v>0</v>
      </c>
      <c r="F6" s="2">
        <f>(1260*2)/180</f>
        <v>14</v>
      </c>
      <c r="G6" s="3">
        <f t="shared" ref="G6:G12" si="0">F6*E6</f>
        <v>0</v>
      </c>
    </row>
    <row r="7" spans="1:7" s="1" customFormat="1" ht="17.100000000000001" customHeight="1" x14ac:dyDescent="0.2">
      <c r="A7" s="36" t="s">
        <v>6</v>
      </c>
      <c r="B7" s="36"/>
      <c r="C7" s="36"/>
      <c r="D7" s="36"/>
      <c r="E7" s="13">
        <v>0</v>
      </c>
      <c r="F7" s="2">
        <f>(1260*2)/180</f>
        <v>14</v>
      </c>
      <c r="G7" s="3">
        <f t="shared" si="0"/>
        <v>0</v>
      </c>
    </row>
    <row r="8" spans="1:7" s="1" customFormat="1" ht="17.100000000000001" customHeight="1" x14ac:dyDescent="0.2">
      <c r="A8" s="36" t="s">
        <v>7</v>
      </c>
      <c r="B8" s="36"/>
      <c r="C8" s="36"/>
      <c r="D8" s="36"/>
      <c r="E8" s="13">
        <v>0</v>
      </c>
      <c r="F8" s="2">
        <f>(1260*2)/180</f>
        <v>14</v>
      </c>
      <c r="G8" s="3">
        <f t="shared" si="0"/>
        <v>0</v>
      </c>
    </row>
    <row r="9" spans="1:7" s="1" customFormat="1" ht="17.100000000000001" customHeight="1" x14ac:dyDescent="0.2">
      <c r="A9" s="36" t="s">
        <v>8</v>
      </c>
      <c r="B9" s="36"/>
      <c r="C9" s="36"/>
      <c r="D9" s="36"/>
      <c r="E9" s="13">
        <v>0</v>
      </c>
      <c r="F9" s="2">
        <f>(1260*2)/180</f>
        <v>14</v>
      </c>
      <c r="G9" s="3">
        <f t="shared" si="0"/>
        <v>0</v>
      </c>
    </row>
    <row r="10" spans="1:7" s="1" customFormat="1" ht="17.100000000000001" customHeight="1" x14ac:dyDescent="0.2">
      <c r="A10" s="36" t="s">
        <v>9</v>
      </c>
      <c r="B10" s="36"/>
      <c r="C10" s="36"/>
      <c r="D10" s="36"/>
      <c r="E10" s="13">
        <v>0</v>
      </c>
      <c r="F10" s="2">
        <f>(5000*2)/180</f>
        <v>55.555555555555557</v>
      </c>
      <c r="G10" s="3">
        <f t="shared" si="0"/>
        <v>0</v>
      </c>
    </row>
    <row r="11" spans="1:7" s="1" customFormat="1" ht="17.100000000000001" customHeight="1" x14ac:dyDescent="0.2">
      <c r="A11" s="37" t="s">
        <v>10</v>
      </c>
      <c r="B11" s="38"/>
      <c r="C11" s="38"/>
      <c r="D11" s="39"/>
      <c r="E11" s="13">
        <v>0</v>
      </c>
      <c r="F11" s="2">
        <f>30000/180</f>
        <v>166.66666666666666</v>
      </c>
      <c r="G11" s="3">
        <f t="shared" si="0"/>
        <v>0</v>
      </c>
    </row>
    <row r="12" spans="1:7" s="1" customFormat="1" ht="17.100000000000001" customHeight="1" x14ac:dyDescent="0.2">
      <c r="A12" s="36" t="s">
        <v>11</v>
      </c>
      <c r="B12" s="36"/>
      <c r="C12" s="36"/>
      <c r="D12" s="36"/>
      <c r="E12" s="4">
        <f>SUM(E6:E11)/6</f>
        <v>0</v>
      </c>
      <c r="F12" s="2">
        <f>(290+5500+800+250+1234+158+570+310)/180</f>
        <v>50.62222222222222</v>
      </c>
      <c r="G12" s="3">
        <f t="shared" si="0"/>
        <v>0</v>
      </c>
    </row>
    <row r="13" spans="1:7" s="1" customFormat="1" ht="17.100000000000001" customHeight="1" x14ac:dyDescent="0.25">
      <c r="A13" s="36" t="s">
        <v>12</v>
      </c>
      <c r="B13" s="36"/>
      <c r="C13" s="36"/>
      <c r="D13" s="36"/>
      <c r="E13" s="14">
        <v>0</v>
      </c>
      <c r="F13" s="18"/>
      <c r="G13" s="3">
        <f>SUM(G6:G12)*E13</f>
        <v>0</v>
      </c>
    </row>
    <row r="14" spans="1:7" s="1" customFormat="1" ht="17.100000000000001" customHeight="1" x14ac:dyDescent="0.25">
      <c r="A14" s="35" t="s">
        <v>13</v>
      </c>
      <c r="B14" s="35"/>
      <c r="C14" s="35"/>
      <c r="D14" s="35"/>
      <c r="E14" s="5"/>
      <c r="F14" s="6"/>
      <c r="G14" s="7">
        <f>SUM(G6:G13)</f>
        <v>0</v>
      </c>
    </row>
    <row r="15" spans="1:7" s="1" customFormat="1" ht="17.100000000000001" customHeight="1" x14ac:dyDescent="0.25">
      <c r="A15" s="36" t="s">
        <v>14</v>
      </c>
      <c r="B15" s="36"/>
      <c r="C15" s="36"/>
      <c r="D15" s="36"/>
      <c r="E15" s="15">
        <v>0.06</v>
      </c>
      <c r="F15" s="18"/>
      <c r="G15" s="8">
        <f>((G14+G17+G16)/86.67*100)*E15</f>
        <v>0</v>
      </c>
    </row>
    <row r="16" spans="1:7" s="1" customFormat="1" ht="17.100000000000001" customHeight="1" x14ac:dyDescent="0.25">
      <c r="A16" s="36" t="s">
        <v>15</v>
      </c>
      <c r="B16" s="36"/>
      <c r="C16" s="36"/>
      <c r="D16" s="36"/>
      <c r="E16" s="16">
        <v>0.15</v>
      </c>
      <c r="F16" s="18"/>
      <c r="G16" s="3">
        <f>G14*E16</f>
        <v>0</v>
      </c>
    </row>
    <row r="17" spans="1:7" s="1" customFormat="1" ht="17.100000000000001" customHeight="1" x14ac:dyDescent="0.25">
      <c r="A17" s="36" t="s">
        <v>16</v>
      </c>
      <c r="B17" s="36"/>
      <c r="C17" s="36"/>
      <c r="D17" s="36"/>
      <c r="E17" s="19"/>
      <c r="F17" s="20">
        <v>0.1</v>
      </c>
      <c r="G17" s="3">
        <f>G14*F17</f>
        <v>0</v>
      </c>
    </row>
    <row r="18" spans="1:7" s="1" customFormat="1" ht="20.100000000000001" customHeight="1" x14ac:dyDescent="0.25">
      <c r="A18" s="21" t="s">
        <v>17</v>
      </c>
      <c r="B18" s="22"/>
      <c r="C18" s="22"/>
      <c r="D18" s="22"/>
      <c r="E18" s="22"/>
      <c r="F18" s="23"/>
      <c r="G18" s="9">
        <f>SUM(G14:G17)</f>
        <v>0</v>
      </c>
    </row>
    <row r="19" spans="1:7" s="1" customFormat="1" ht="20.100000000000001" customHeight="1" x14ac:dyDescent="0.2">
      <c r="A19" s="24" t="s">
        <v>18</v>
      </c>
      <c r="B19" s="25"/>
      <c r="C19" s="25"/>
      <c r="D19" s="25"/>
      <c r="E19" s="25"/>
      <c r="F19" s="25"/>
      <c r="G19" s="17">
        <v>0</v>
      </c>
    </row>
    <row r="20" spans="1:7" s="1" customFormat="1" ht="20.100000000000001" customHeight="1" x14ac:dyDescent="0.25">
      <c r="A20" s="26" t="s">
        <v>19</v>
      </c>
      <c r="B20" s="27"/>
      <c r="C20" s="27"/>
      <c r="D20" s="27"/>
      <c r="E20" s="27"/>
      <c r="F20" s="28"/>
      <c r="G20" s="10">
        <f>G19-G18</f>
        <v>0</v>
      </c>
    </row>
  </sheetData>
  <sheetProtection algorithmName="SHA-512" hashValue="N6P8VfWoRdmnkBrXuKmXDNKxtJlhmPZBexeZrrPNpEM+7APBkmnyAOhEa9qkSQ3pKi4odVAc4/ydxvh2zPoAKw==" saltValue="Nlo1LWuQC782SmowJgxR4g==" spinCount="100000" sheet="1" objects="1" scenarios="1"/>
  <mergeCells count="21">
    <mergeCell ref="A1:G1"/>
    <mergeCell ref="A3:D3"/>
    <mergeCell ref="E3:G3"/>
    <mergeCell ref="A5:D5"/>
    <mergeCell ref="A6:D6"/>
    <mergeCell ref="A18:F18"/>
    <mergeCell ref="A19:F19"/>
    <mergeCell ref="A20:F20"/>
    <mergeCell ref="A2:G2"/>
    <mergeCell ref="A4:G4"/>
    <mergeCell ref="A14:D14"/>
    <mergeCell ref="A15:D15"/>
    <mergeCell ref="A16:D16"/>
    <mergeCell ref="A17:D17"/>
    <mergeCell ref="A8:D8"/>
    <mergeCell ref="A9:D9"/>
    <mergeCell ref="A10:D10"/>
    <mergeCell ref="A11:D11"/>
    <mergeCell ref="A12:D12"/>
    <mergeCell ref="A13:D13"/>
    <mergeCell ref="A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Kely Fernandes Oliveira</dc:creator>
  <cp:lastModifiedBy>Kely Fernandes</cp:lastModifiedBy>
  <cp:lastPrinted>2012-03-29T14:34:22Z</cp:lastPrinted>
  <dcterms:created xsi:type="dcterms:W3CDTF">2012-03-29T14:22:51Z</dcterms:created>
  <dcterms:modified xsi:type="dcterms:W3CDTF">2020-02-03T18:18:13Z</dcterms:modified>
</cp:coreProperties>
</file>